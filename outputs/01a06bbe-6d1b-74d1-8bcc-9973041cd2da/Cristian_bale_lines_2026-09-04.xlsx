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202ad34b8ad42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le lines" sheetId="1" r:id="Rd852f3fadbe04e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yyyy-mm-dd"/>
    <x:numFmt numFmtId="202" formatCode="0"/>
  </x:numFmts>
  <x:fonts count="7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F2937"/>
      <x:name val="Carlito"/>
    </x:font>
    <x:font>
      <x:b/>
      <x:sz val="11"/>
      <x:color rgb="FF7F6000"/>
      <x:name val="Carlito"/>
    </x:font>
    <x:font>
      <x:b/>
      <x:sz val="11"/>
      <x:color rgb="FF1F2937"/>
      <x:name val="Carlito"/>
    </x:font>
    <x:font>
      <x:b/>
      <x:sz val="11"/>
      <x:color rgb="FF375623"/>
      <x:name val="Carlito"/>
    </x:font>
    <x:font>
      <x:i/>
      <x:sz val="9"/>
      <x:color rgb="FF666666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center"/>
    </x:xf>
    <x:xf numFmtId="0" fontId="5" fillId="5" borderId="0" xfId="0" applyNumberFormat="1" applyFont="1" applyFill="1" applyBorder="1" applyAlignment="1">
      <x:alignment horizontal="right"/>
    </x:xf>
    <x:xf numFmtId="200" fontId="5" fillId="5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0" fillId="0" borderId="0" xfId="0" applyNumberFormat="1" applyFont="1" applyFill="1" applyBorder="1"/>
    <x:xf numFmtId="0" fontId="0" fillId="0" borderId="1" xfId="0" applyNumberFormat="1" applyFont="1" applyFill="1" applyBorder="1"/>
    <x:xf numFmtId="201" fontId="0" fillId="0" borderId="1" xfId="0" applyNumberFormat="1" applyFont="1" applyFill="1" applyBorder="1"/>
    <x:xf numFmtId="202" fontId="0" fillId="0" borderId="1" xfId="0" applyNumberFormat="1" applyFont="1" applyFill="1" applyBorder="1"/>
    <x:xf numFmtId="200" fontId="0" fillId="0" borderId="1" xfId="0" applyNumberFormat="1" applyFont="1" applyFill="1" applyBorder="1"/>
    <x:xf numFmtId="0" fontId="0" fillId="4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0" fillId="4" borderId="1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ae9556585149d2" /><Relationship Type="http://schemas.openxmlformats.org/officeDocument/2006/relationships/theme" Target="/xl/theme/theme1.xml" Id="R8de540549f084644" /><Relationship Type="http://schemas.openxmlformats.org/officeDocument/2006/relationships/sharedStrings" Target="/xl/sharedStrings.xml" Id="R5f462eac7b974d7d" /><Relationship Type="http://schemas.openxmlformats.org/officeDocument/2006/relationships/worksheet" Target="/xl/worksheets/sheet1.xml" Id="Rd852f3fadbe04edb" /></Relationships>
</file>

<file path=xl/tables/table1.xml><?xml version="1.0" encoding="utf-8"?>
<x:table xmlns:x="http://schemas.openxmlformats.org/spreadsheetml/2006/main" id="1" name="BaleLinesTable" displayName="BaleLinesTable" ref="A7:J25" headerRowCount="1" totalsRowCount="0" totalsRowShown="0">
  <x:autoFilter ref="A7:J25"/>
  <x:tableColumns count="10">
    <x:tableColumn id="1" name="Invoice date"/>
    <x:tableColumn id="2" name="Invoice folio"/>
    <x:tableColumn id="3" name="Contractor"/>
    <x:tableColumn id="4" name="Invoice line"/>
    <x:tableColumn id="5" name="Item"/>
    <x:tableColumn id="6" name="Amount CLP"/>
    <x:tableColumn id="7" name="Correct category"/>
    <x:tableColumn id="8" name="Notes"/>
    <x:tableColumn id="9" name="Quantity / unit"/>
    <x:tableColumn id="10" name="Reference 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f6af058be474699" /></Relationships>
</file>

<file path=xl/worksheets/sheet1.xml><?xml version="1.0" encoding="utf-8"?>
<x:worksheet xmlns:x="http://schemas.openxmlformats.org/spreadsheetml/2006/main">
  <x:sheetPr>
    <x:tabColor rgb="FF1F4E78"/>
  </x:sheetPr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25" hidden="0" customWidth="1"/>
    <x:col min="4" max="4" width="12" hidden="0" customWidth="1"/>
    <x:col min="5" max="5" width="38" hidden="0" customWidth="1"/>
    <x:col min="6" max="6" width="15" hidden="0" customWidth="1"/>
    <x:col min="7" max="7" width="22" hidden="0" customWidth="1"/>
    <x:col min="8" max="8" width="28" hidden="0" customWidth="1"/>
    <x:col min="9" max="9" width="16" hidden="0" customWidth="1"/>
    <x:col min="10" max="10" width="38" hidden="0" customWidth="1"/>
  </x:cols>
  <x:sheetData>
    <x:row r="1" ht="34" customHeight="1">
      <x:c r="A1" s="3" t="str">
        <x:v>Bale-making lines to categorise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24" customHeight="1">
      <x:c r="A2" s="6" t="str">
        <x:v>Antillanca - 18 unresolved invoice lines - CLP 56,581,822</x:v>
      </x:c>
      <x:c r="B2" s="6"/>
      <x:c r="C2" s="6"/>
      <x:c r="D2" s="6"/>
      <x:c r="E2" s="6"/>
      <x:c r="F2" s="6"/>
      <x:c r="G2" s="6"/>
      <x:c r="H2" s="6"/>
      <x:c r="I2" s="6"/>
      <x:c r="J2" s="6"/>
    </x:row>
    <x:row r="3" ht="34" customHeight="1">
      <x:c r="A3" s="10" t="str">
        <x:v>Please choose Bolos Silo or Bolos Heno in the yellow column. If neither is correct, choose Other and explain in Notes.</x:v>
      </x:c>
      <x:c r="B3" s="10"/>
      <x:c r="C3" s="10"/>
      <x:c r="D3" s="10"/>
      <x:c r="E3" s="10"/>
      <x:c r="F3" s="10"/>
      <x:c r="G3" s="10"/>
      <x:c r="H3" s="10"/>
      <x:c r="I3" s="10"/>
      <x:c r="J3" s="10"/>
    </x:row>
    <x:row r="5">
      <x:c r="A5" s="11" t="str">
        <x:v>Lines</x:v>
      </x:c>
      <x:c r="B5" s="14" t="n">
        <x:f>COUNTA(A8:A25)</x:f>
        <x:v>18</x:v>
      </x:c>
      <x:c r="C5" s="11"/>
      <x:c r="D5" s="11" t="str">
        <x:v>Total CLP</x:v>
      </x:c>
      <x:c r="E5" s="16" t="n">
        <x:f>SUM(F8:F25)</x:f>
        <x:v>56581822</x:v>
      </x:c>
    </x:row>
    <x:row r="7">
      <x:c r="A7" s="25" t="str">
        <x:v>Invoice date</x:v>
      </x:c>
      <x:c r="B7" s="25" t="str">
        <x:v>Invoice folio</x:v>
      </x:c>
      <x:c r="C7" s="25" t="str">
        <x:v>Contractor</x:v>
      </x:c>
      <x:c r="D7" s="25" t="str">
        <x:v>Invoice line</x:v>
      </x:c>
      <x:c r="E7" s="25" t="str">
        <x:v>Item</x:v>
      </x:c>
      <x:c r="F7" s="25" t="str">
        <x:v>Amount CLP</x:v>
      </x:c>
      <x:c r="G7" s="25" t="str">
        <x:v>Correct category</x:v>
      </x:c>
      <x:c r="H7" s="25" t="str">
        <x:v>Notes</x:v>
      </x:c>
      <x:c r="I7" s="25" t="str">
        <x:v>Quantity / unit</x:v>
      </x:c>
      <x:c r="J7" s="25" t="str">
        <x:v>Reference ID</x:v>
      </x:c>
    </x:row>
    <x:row r="8" ht="38" customHeight="1">
      <x:c r="A8" s="26" t="n">
        <x:v>45664</x:v>
      </x:c>
      <x:c r="B8" s="25" t="str">
        <x:v>308</x:v>
      </x:c>
      <x:c r="C8" s="30" t="str">
        <x:v>AGRÍCOLA J-S-E LIMITADA</x:v>
      </x:c>
      <x:c r="D8" s="27" t="n">
        <x:v>1</x:v>
      </x:c>
      <x:c r="E8" s="30" t="str">
        <x:v>CONFECCION BOLOS PELLECO</x:v>
      </x:c>
      <x:c r="F8" s="28" t="n">
        <x:v>1183000</x:v>
      </x:c>
      <x:c r="G8" s="29" t="str"/>
      <x:c r="H8" s="31" t="str"/>
      <x:c r="I8" s="25" t="str">
        <x:v>91 UN</x:v>
      </x:c>
      <x:c r="J8" s="25" t="str">
        <x:v>b5d65636-ca5c-4c6d-8436-d14e8755d204</x:v>
      </x:c>
    </x:row>
    <x:row r="9" ht="38" customHeight="1">
      <x:c r="A9" s="26" t="n">
        <x:v>45666</x:v>
      </x:c>
      <x:c r="B9" s="25" t="str">
        <x:v>310</x:v>
      </x:c>
      <x:c r="C9" s="30" t="str">
        <x:v>AGRÍCOLA J-S-E LIMITADA</x:v>
      </x:c>
      <x:c r="D9" s="27" t="n">
        <x:v>1</x:v>
      </x:c>
      <x:c r="E9" s="30" t="str">
        <x:v>CONFECCION BOLOS</x:v>
      </x:c>
      <x:c r="F9" s="28" t="n">
        <x:v>1235000</x:v>
      </x:c>
      <x:c r="G9" s="29" t="str"/>
      <x:c r="H9" s="31" t="str"/>
      <x:c r="I9" s="25" t="str">
        <x:v>95 UN</x:v>
      </x:c>
      <x:c r="J9" s="25" t="str">
        <x:v>7c7ef76a-3d9e-47d5-974b-03da87dd112d</x:v>
      </x:c>
    </x:row>
    <x:row r="10" ht="38" customHeight="1">
      <x:c r="A10" s="26" t="n">
        <x:v>45666</x:v>
      </x:c>
      <x:c r="B10" s="25" t="str">
        <x:v>310</x:v>
      </x:c>
      <x:c r="C10" s="30" t="str">
        <x:v>AGRÍCOLA J-S-E LIMITADA</x:v>
      </x:c>
      <x:c r="D10" s="27" t="n">
        <x:v>2</x:v>
      </x:c>
      <x:c r="E10" s="30" t="str">
        <x:v>CONFECCION BOLOS</x:v>
      </x:c>
      <x:c r="F10" s="28" t="n">
        <x:v>252000</x:v>
      </x:c>
      <x:c r="G10" s="29" t="str"/>
      <x:c r="H10" s="31" t="str"/>
      <x:c r="I10" s="25" t="str">
        <x:v>28 UN</x:v>
      </x:c>
      <x:c r="J10" s="25" t="str">
        <x:v>bfdcf414-82f7-4b7f-ae32-d24c86edecdf</x:v>
      </x:c>
    </x:row>
    <x:row r="11" ht="38" customHeight="1">
      <x:c r="A11" s="26" t="n">
        <x:v>45713</x:v>
      </x:c>
      <x:c r="B11" s="25" t="str">
        <x:v>322</x:v>
      </x:c>
      <x:c r="C11" s="30" t="str">
        <x:v>AGRÍCOLA J-S-E LIMITADA</x:v>
      </x:c>
      <x:c r="D11" s="27" t="n">
        <x:v>1</x:v>
      </x:c>
      <x:c r="E11" s="30" t="str">
        <x:v>CONFECCION BOLOS PELLECO</x:v>
      </x:c>
      <x:c r="F11" s="28" t="n">
        <x:v>4784000</x:v>
      </x:c>
      <x:c r="G11" s="29" t="str"/>
      <x:c r="H11" s="31" t="str"/>
      <x:c r="I11" s="25" t="str">
        <x:v>368 UN</x:v>
      </x:c>
      <x:c r="J11" s="25" t="str">
        <x:v>90e96ea3-6547-4109-931c-56da70cf0c14</x:v>
      </x:c>
    </x:row>
    <x:row r="12" ht="38" customHeight="1">
      <x:c r="A12" s="26" t="n">
        <x:v>45661</x:v>
      </x:c>
      <x:c r="B12" s="25" t="str">
        <x:v>477</x:v>
      </x:c>
      <x:c r="C12" s="30" t="str">
        <x:v>AGRÍCOLA RIBERAS DEL SAUCE SPA</x:v>
      </x:c>
      <x:c r="D12" s="27" t="n">
        <x:v>1</x:v>
      </x:c>
      <x:c r="E12" s="30" t="str">
        <x:v>SERVICIO CONFECCION BOLOS</x:v>
      </x:c>
      <x:c r="F12" s="28" t="n">
        <x:v>1339000</x:v>
      </x:c>
      <x:c r="G12" s="29" t="str"/>
      <x:c r="H12" s="31" t="str"/>
      <x:c r="I12" s="25" t="str">
        <x:v>103 UN</x:v>
      </x:c>
      <x:c r="J12" s="25" t="str">
        <x:v>4f91be73-d5a7-49aa-acf5-6b228341fd88</x:v>
      </x:c>
    </x:row>
    <x:row r="13" ht="38" customHeight="1">
      <x:c r="A13" s="26" t="n">
        <x:v>45745</x:v>
      </x:c>
      <x:c r="B13" s="25" t="str">
        <x:v>502</x:v>
      </x:c>
      <x:c r="C13" s="30" t="str">
        <x:v>HECTOR ADRIAN VALENZUELA PAREDES</x:v>
      </x:c>
      <x:c r="D13" s="27" t="n">
        <x:v>2</x:v>
      </x:c>
      <x:c r="E13" s="30" t="str">
        <x:v>Mínimo de bolos</x:v>
      </x:c>
      <x:c r="F13" s="28" t="n">
        <x:v>660000</x:v>
      </x:c>
      <x:c r="G13" s="29" t="str"/>
      <x:c r="H13" s="31" t="str"/>
      <x:c r="I13" s="25" t="str">
        <x:v>60</x:v>
      </x:c>
      <x:c r="J13" s="25" t="str">
        <x:v>00937349-651f-4042-847f-1da91630dfc6</x:v>
      </x:c>
    </x:row>
    <x:row r="14" ht="38" customHeight="1">
      <x:c r="A14" s="26" t="n">
        <x:v>45991</x:v>
      </x:c>
      <x:c r="B14" s="25" t="str">
        <x:v>540</x:v>
      </x:c>
      <x:c r="C14" s="30" t="str">
        <x:v>HECTOR ADRIAN VALENZUELA PAREDES</x:v>
      </x:c>
      <x:c r="D14" s="27" t="n">
        <x:v>1</x:v>
      </x:c>
      <x:c r="E14" s="30" t="str">
        <x:v>Bolos maitén</x:v>
      </x:c>
      <x:c r="F14" s="28" t="n">
        <x:v>8820000</x:v>
      </x:c>
      <x:c r="G14" s="29" t="str"/>
      <x:c r="H14" s="31" t="str"/>
      <x:c r="I14" s="25" t="str">
        <x:v>490</x:v>
      </x:c>
      <x:c r="J14" s="25" t="str">
        <x:v>44aa39df-e32d-42db-8fe9-334653e7cab2</x:v>
      </x:c>
    </x:row>
    <x:row r="15" ht="38" customHeight="1">
      <x:c r="A15" s="26" t="n">
        <x:v>45796</x:v>
      </x:c>
      <x:c r="B15" s="25" t="str">
        <x:v>4894634</x:v>
      </x:c>
      <x:c r="C15" s="30" t="str">
        <x:v>SALINAS Y FABRES S.A.</x:v>
      </x:c>
      <x:c r="D15" s="27" t="n">
        <x:v>1</x:v>
      </x:c>
      <x:c r="E15" s="30" t="str">
        <x:v>PINZA PARA BOLOS, PARA INSTALAR EN CARGADOR FRONTAL</x:v>
      </x:c>
      <x:c r="F15" s="28" t="n">
        <x:v>3369312</x:v>
      </x:c>
      <x:c r="G15" s="29" t="str"/>
      <x:c r="H15" s="31" t="str"/>
      <x:c r="I15" s="25" t="str">
        <x:v>1</x:v>
      </x:c>
      <x:c r="J15" s="25" t="str">
        <x:v>b486afa8-f121-4bf9-8d86-6f17b105109e</x:v>
      </x:c>
    </x:row>
    <x:row r="16" ht="38" customHeight="1">
      <x:c r="A16" s="26" t="n">
        <x:v>45959</x:v>
      </x:c>
      <x:c r="B16" s="25" t="str">
        <x:v>412</x:v>
      </x:c>
      <x:c r="C16" s="30" t="str">
        <x:v>SERVICIOS AGRICOLAS CORPAL SPA</x:v>
      </x:c>
      <x:c r="D16" s="27" t="n">
        <x:v>1</x:v>
      </x:c>
      <x:c r="E16" s="30" t="str">
        <x:v>FUNDO RAICES</x:v>
      </x:c>
      <x:c r="F16" s="28" t="n">
        <x:v>1800000</x:v>
      </x:c>
      <x:c r="G16" s="29" t="str"/>
      <x:c r="H16" s="31" t="str"/>
      <x:c r="I16" s="25" t="str">
        <x:v>15 1</x:v>
      </x:c>
      <x:c r="J16" s="25" t="str">
        <x:v>999845b0-b2b9-4dfe-9742-be8ae96d9e9a</x:v>
      </x:c>
    </x:row>
    <x:row r="17" ht="38" customHeight="1">
      <x:c r="A17" s="26" t="n">
        <x:v>45959</x:v>
      </x:c>
      <x:c r="B17" s="25" t="str">
        <x:v>412</x:v>
      </x:c>
      <x:c r="C17" s="30" t="str">
        <x:v>SERVICIOS AGRICOLAS CORPAL SPA</x:v>
      </x:c>
      <x:c r="D17" s="27" t="n">
        <x:v>2</x:v>
      </x:c>
      <x:c r="E17" s="30" t="str">
        <x:v>FUNDO PELLECO</x:v>
      </x:c>
      <x:c r="F17" s="28" t="n">
        <x:v>7600000</x:v>
      </x:c>
      <x:c r="G17" s="29" t="str"/>
      <x:c r="H17" s="31" t="str"/>
      <x:c r="I17" s="25" t="str">
        <x:v>50 1</x:v>
      </x:c>
      <x:c r="J17" s="25" t="str">
        <x:v>2e9d7e05-ca73-4aba-b487-3e15bbb6b75c</x:v>
      </x:c>
    </x:row>
    <x:row r="18" ht="38" customHeight="1">
      <x:c r="A18" s="26" t="n">
        <x:v>45987</x:v>
      </x:c>
      <x:c r="B18" s="25" t="str">
        <x:v>423</x:v>
      </x:c>
      <x:c r="C18" s="30" t="str">
        <x:v>SERVICIOS AGRICOLAS CORPAL SPA</x:v>
      </x:c>
      <x:c r="D18" s="27" t="n">
        <x:v>1</x:v>
      </x:c>
      <x:c r="E18" s="30" t="str">
        <x:v>YUTRECO COMFECCION BOLOS</x:v>
      </x:c>
      <x:c r="F18" s="28" t="n">
        <x:v>1464000</x:v>
      </x:c>
      <x:c r="G18" s="29" t="str"/>
      <x:c r="H18" s="31" t="str"/>
      <x:c r="I18" s="25" t="str">
        <x:v>12 1</x:v>
      </x:c>
      <x:c r="J18" s="25" t="str">
        <x:v>3aade1a4-8127-417b-a612-b605d8b31419</x:v>
      </x:c>
    </x:row>
    <x:row r="19" ht="38" customHeight="1">
      <x:c r="A19" s="26" t="n">
        <x:v>45987</x:v>
      </x:c>
      <x:c r="B19" s="25" t="str">
        <x:v>423</x:v>
      </x:c>
      <x:c r="C19" s="30" t="str">
        <x:v>SERVICIOS AGRICOLAS CORPAL SPA</x:v>
      </x:c>
      <x:c r="D19" s="27" t="n">
        <x:v>2</x:v>
      </x:c>
      <x:c r="E19" s="30" t="str">
        <x:v>ARRIENDO CHAPILCAHUIN</x:v>
      </x:c>
      <x:c r="F19" s="28" t="n">
        <x:v>5143000</x:v>
      </x:c>
      <x:c r="G19" s="29" t="str"/>
      <x:c r="H19" s="31" t="str"/>
      <x:c r="I19" s="25" t="str">
        <x:v>278 1</x:v>
      </x:c>
      <x:c r="J19" s="25" t="str">
        <x:v>9e4ecaa8-2cd0-4397-a419-2bf3a8333542</x:v>
      </x:c>
    </x:row>
    <x:row r="20" ht="38" customHeight="1">
      <x:c r="A20" s="26" t="n">
        <x:v>45987</x:v>
      </x:c>
      <x:c r="B20" s="25" t="str">
        <x:v>423</x:v>
      </x:c>
      <x:c r="C20" s="30" t="str">
        <x:v>SERVICIOS AGRICOLAS CORPAL SPA</x:v>
      </x:c>
      <x:c r="D20" s="27" t="n">
        <x:v>3</x:v>
      </x:c>
      <x:c r="E20" s="30" t="str">
        <x:v>FUNDO RAICES</x:v>
      </x:c>
      <x:c r="F20" s="28" t="n">
        <x:v>5235500</x:v>
      </x:c>
      <x:c r="G20" s="29" t="str"/>
      <x:c r="H20" s="31" t="str"/>
      <x:c r="I20" s="25" t="str">
        <x:v>283 1</x:v>
      </x:c>
      <x:c r="J20" s="25" t="str">
        <x:v>0382cd9f-cad2-4fcd-88bf-a7141c59dc6b</x:v>
      </x:c>
    </x:row>
    <x:row r="21" ht="38" customHeight="1">
      <x:c r="A21" s="26" t="n">
        <x:v>45987</x:v>
      </x:c>
      <x:c r="B21" s="25" t="str">
        <x:v>423</x:v>
      </x:c>
      <x:c r="C21" s="30" t="str">
        <x:v>SERVICIOS AGRICOLAS CORPAL SPA</x:v>
      </x:c>
      <x:c r="D21" s="27" t="n">
        <x:v>4</x:v>
      </x:c>
      <x:c r="E21" s="30" t="str">
        <x:v>YUTRECO SALA</x:v>
      </x:c>
      <x:c r="F21" s="28" t="n">
        <x:v>2430000</x:v>
      </x:c>
      <x:c r="G21" s="29" t="str"/>
      <x:c r="H21" s="31" t="str"/>
      <x:c r="I21" s="25" t="str">
        <x:v>18 1</x:v>
      </x:c>
      <x:c r="J21" s="25" t="str">
        <x:v>d05726e3-56fd-4fd3-ae0a-e1c49dbfcaf6</x:v>
      </x:c>
    </x:row>
    <x:row r="22" ht="38" customHeight="1">
      <x:c r="A22" s="26" t="n">
        <x:v>46028</x:v>
      </x:c>
      <x:c r="B22" s="25" t="str">
        <x:v>430</x:v>
      </x:c>
      <x:c r="C22" s="30" t="str">
        <x:v>SERVICIOS AGRICOLAS CORPAL SPA</x:v>
      </x:c>
      <x:c r="D22" s="27" t="n">
        <x:v>1</x:v>
      </x:c>
      <x:c r="E22" s="30" t="str">
        <x:v>BOLOS MAITEN</x:v>
      </x:c>
      <x:c r="F22" s="28" t="n">
        <x:v>3681500</x:v>
      </x:c>
      <x:c r="G22" s="29" t="str"/>
      <x:c r="H22" s="31" t="str"/>
      <x:c r="I22" s="25" t="str">
        <x:v>199 1</x:v>
      </x:c>
      <x:c r="J22" s="25" t="str">
        <x:v>724d552c-ed39-45a2-a835-ee6bcfb359da</x:v>
      </x:c>
    </x:row>
    <x:row r="23" ht="38" customHeight="1">
      <x:c r="A23" s="26" t="n">
        <x:v>46028</x:v>
      </x:c>
      <x:c r="B23" s="25" t="str">
        <x:v>430</x:v>
      </x:c>
      <x:c r="C23" s="30" t="str">
        <x:v>SERVICIOS AGRICOLAS CORPAL SPA</x:v>
      </x:c>
      <x:c r="D23" s="27" t="n">
        <x:v>2</x:v>
      </x:c>
      <x:c r="E23" s="30" t="str">
        <x:v>BOLOS FUTRONO</x:v>
      </x:c>
      <x:c r="F23" s="28" t="n">
        <x:v>2756500</x:v>
      </x:c>
      <x:c r="G23" s="29" t="str"/>
      <x:c r="H23" s="31" t="str"/>
      <x:c r="I23" s="25" t="str">
        <x:v>149 1</x:v>
      </x:c>
      <x:c r="J23" s="25" t="str">
        <x:v>7a999b3d-1912-460e-866a-fda09a20e6d2</x:v>
      </x:c>
    </x:row>
    <x:row r="24" ht="38" customHeight="1">
      <x:c r="A24" s="26" t="n">
        <x:v>46028</x:v>
      </x:c>
      <x:c r="B24" s="25" t="str">
        <x:v>430</x:v>
      </x:c>
      <x:c r="C24" s="30" t="str">
        <x:v>SERVICIOS AGRICOLAS CORPAL SPA</x:v>
      </x:c>
      <x:c r="D24" s="27" t="n">
        <x:v>3</x:v>
      </x:c>
      <x:c r="E24" s="30" t="str">
        <x:v>BOLOS MAITEN 2DA VUELTA</x:v>
      </x:c>
      <x:c r="F24" s="28" t="n">
        <x:v>732000</x:v>
      </x:c>
      <x:c r="G24" s="29" t="str"/>
      <x:c r="H24" s="31" t="str"/>
      <x:c r="I24" s="25" t="str">
        <x:v>6 1</x:v>
      </x:c>
      <x:c r="J24" s="25" t="str">
        <x:v>338b0806-a913-45cc-a377-34d6fc26db7d</x:v>
      </x:c>
    </x:row>
    <x:row r="25" ht="38" customHeight="1">
      <x:c r="A25" s="26" t="n">
        <x:v>46035</x:v>
      </x:c>
      <x:c r="B25" s="25" t="str">
        <x:v>435</x:v>
      </x:c>
      <x:c r="C25" s="30" t="str">
        <x:v>SERVICIOS AGRICOLAS CORPAL SPA</x:v>
      </x:c>
      <x:c r="D25" s="27" t="n">
        <x:v>1</x:v>
      </x:c>
      <x:c r="E25" s="30" t="str">
        <x:v>CONFECCION CHAPILCAHUIN</x:v>
      </x:c>
      <x:c r="F25" s="28" t="n">
        <x:v>4097010</x:v>
      </x:c>
      <x:c r="G25" s="29" t="str"/>
      <x:c r="H25" s="31" t="str"/>
      <x:c r="I25" s="25" t="str">
        <x:v>30 1</x:v>
      </x:c>
      <x:c r="J25" s="25" t="str">
        <x:v>5ef6fd84-680b-485a-b9de-f9195953b5fc</x:v>
      </x:c>
    </x:row>
    <x:row r="27">
      <x:c r="A27" s="32" t="str">
        <x:v>Source: Supabase backup taken 2026-09-03 (invoice_items and invoices).</x:v>
      </x:c>
      <x:c r="B27" s="32"/>
      <x:c r="C27" s="32"/>
      <x:c r="D27" s="32"/>
      <x:c r="E27" s="32"/>
      <x:c r="F27" s="32"/>
      <x:c r="G27" s="32"/>
      <x:c r="H27" s="32"/>
      <x:c r="I27" s="32"/>
      <x:c r="J27" s="32"/>
    </x:row>
  </x:sheetData>
  <x:mergeCells>
    <x:mergeCell ref="A1:J1"/>
    <x:mergeCell ref="A2:J2"/>
    <x:mergeCell ref="A3:J3"/>
    <x:mergeCell ref="A27:J27"/>
  </x:mergeCells>
  <x:dataValidations count="1">
    <x:dataValidation type="list" sqref="G8:G25">
      <x:formula1>"Bolos Silo,Bolos Heno,Other - explain in Notes"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f6af058be474699"/>
  </x:tableParts>
</x:worksheet>
</file>